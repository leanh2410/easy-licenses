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052A5692-A5F8-4C38-B1C3-6FE207828234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Content" sheetId="2" r:id="rId1"/>
    <sheet name="QT01" sheetId="15" r:id="rId2"/>
    <sheet name="QT02" sheetId="17" r:id="rId3"/>
    <sheet name="TC01" sheetId="1" r:id="rId4"/>
    <sheet name="CP01" sheetId="3" r:id="rId5"/>
    <sheet name="BH01" sheetId="4" r:id="rId6"/>
    <sheet name="BH02" sheetId="5" r:id="rId7"/>
    <sheet name="LK01" sheetId="6" r:id="rId8"/>
    <sheet name="LK02" sheetId="7" r:id="rId9"/>
    <sheet name="LK03" sheetId="16" r:id="rId10"/>
    <sheet name="CP02" sheetId="8" r:id="rId11"/>
    <sheet name="TC02" sheetId="9" r:id="rId12"/>
    <sheet name="CP03" sheetId="10" r:id="rId13"/>
    <sheet name="GD01" sheetId="11" r:id="rId14"/>
    <sheet name="GD02" sheetId="12" r:id="rId15"/>
    <sheet name="TC03" sheetId="13" r:id="rId16"/>
    <sheet name="BH03" sheetId="14" r:id="rId1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" i="2" l="1"/>
  <c r="C1" i="17"/>
  <c r="A1" i="17"/>
  <c r="C1" i="16"/>
  <c r="A1" i="16"/>
  <c r="C1" i="15"/>
  <c r="A1" i="15"/>
  <c r="C1" i="14"/>
  <c r="A1" i="14"/>
  <c r="C1" i="13"/>
  <c r="A1" i="13"/>
  <c r="C1" i="12"/>
  <c r="A1" i="12"/>
  <c r="C1" i="11"/>
  <c r="A1" i="11"/>
  <c r="C1" i="10"/>
  <c r="A1" i="10"/>
  <c r="C1" i="9"/>
  <c r="A1" i="9"/>
  <c r="C1" i="8"/>
  <c r="A1" i="8"/>
  <c r="C1" i="7"/>
  <c r="A1" i="7"/>
  <c r="C1" i="6"/>
  <c r="A1" i="6"/>
  <c r="C1" i="5"/>
  <c r="A1" i="5"/>
  <c r="C1" i="4"/>
  <c r="A1" i="4"/>
  <c r="C1" i="3"/>
  <c r="A1" i="3"/>
  <c r="A1" i="1"/>
  <c r="C1" i="1" l="1"/>
</calcChain>
</file>

<file path=xl/sharedStrings.xml><?xml version="1.0" encoding="utf-8"?>
<sst xmlns="http://schemas.openxmlformats.org/spreadsheetml/2006/main" count="320" uniqueCount="50">
  <si>
    <t>ID</t>
  </si>
  <si>
    <t>License</t>
  </si>
  <si>
    <t>8FE818A2-E086-5510-A5BA-2CF05D89041D</t>
  </si>
  <si>
    <t>FIRM</t>
  </si>
  <si>
    <t>4C68A711-89BE-412A-BD2D-CB33771CC62D</t>
  </si>
  <si>
    <t>LEAnh@4404$LEKhanh!3696)LEHuyen!3200(LEWives(3448$LEFam</t>
  </si>
  <si>
    <t>link server</t>
  </si>
  <si>
    <t>4C4C4544-004E-3710-804C-B2C04F434B33</t>
  </si>
  <si>
    <t>EASY-19433532692</t>
  </si>
  <si>
    <t>4C4C4544-005A-3510-805A-B6C04F335032</t>
  </si>
  <si>
    <t>EASY-95622037664</t>
  </si>
  <si>
    <t>D3607EC2-831D-45BF-ABF5-29177EB2F0EC</t>
  </si>
  <si>
    <t>EASY-59342082445</t>
  </si>
  <si>
    <t>EASY-33329183463</t>
  </si>
  <si>
    <t>02A20D18-F4BF-5E49-82D2-DEC36C81469A</t>
  </si>
  <si>
    <t>EASY-63885723894</t>
  </si>
  <si>
    <t>29027D39-DDBE-4E6A-9735-D40300E3C29F</t>
  </si>
  <si>
    <t>EASY-29229771939</t>
  </si>
  <si>
    <t>Báo cáo quản trị</t>
  </si>
  <si>
    <t>Kế hoạch &amp; Định giá</t>
  </si>
  <si>
    <t>Lịch trả nợ vay</t>
  </si>
  <si>
    <t>Lịch khấu hao</t>
  </si>
  <si>
    <t>Quản lý loyalty</t>
  </si>
  <si>
    <t>Quản lý KPI</t>
  </si>
  <si>
    <t>Điểm đặt hàng</t>
  </si>
  <si>
    <t>Nhu cầu đặt hàng</t>
  </si>
  <si>
    <t>Quản lý tồn kho</t>
  </si>
  <si>
    <t>Phân bổ giá vốn</t>
  </si>
  <si>
    <t>Dự phòng tồn kho</t>
  </si>
  <si>
    <t>Chấm công nhân viên</t>
  </si>
  <si>
    <t>Quản lý phải thu</t>
  </si>
  <si>
    <t>Quản lý phải trả</t>
  </si>
  <si>
    <t>Dự phòng nợ xấu</t>
  </si>
  <si>
    <t>Quản lý bán hàng</t>
  </si>
  <si>
    <t>QT01</t>
  </si>
  <si>
    <t>QT02</t>
  </si>
  <si>
    <t>TC01</t>
  </si>
  <si>
    <t>CP01</t>
  </si>
  <si>
    <t>BH01</t>
  </si>
  <si>
    <t>BH02</t>
  </si>
  <si>
    <t>LK01</t>
  </si>
  <si>
    <t>LK02</t>
  </si>
  <si>
    <t>LK03</t>
  </si>
  <si>
    <t>CP02</t>
  </si>
  <si>
    <t>TC02</t>
  </si>
  <si>
    <t>CP03</t>
  </si>
  <si>
    <t>GD01</t>
  </si>
  <si>
    <t>GD02</t>
  </si>
  <si>
    <t>TC03</t>
  </si>
  <si>
    <t>BH03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</si>
</sst>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4" fillId="0" borderId="0" xfId="1"/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F5BB5-9E9F-42A9-B3BE-B81ACCB574CB}">
  <sheetPr codeName="Sheet2"/>
  <dimension ref="B14:C31"/>
  <sheetViews>
    <sheetView tabSelected="1" topLeftCell="A13" workbookViewId="0">
      <selection activeCell="G22" sqref="G22"/>
    </sheetView>
  </sheetViews>
  <sheetFormatPr defaultRowHeight="15" x14ac:dyDescent="0.25"/>
  <cols>
    <col min="2" max="2" width="20.140625" bestFit="1" customWidth="1"/>
  </cols>
  <sheetData>
    <row r="14" spans="2:3" x14ac:dyDescent="0.25">
      <c r="B14" s="9">
        <f ca="1">NOW()</f>
        <v>45813.68230763889</v>
      </c>
    </row>
    <row r="16" spans="2:3" x14ac:dyDescent="0.25">
      <c r="B16" t="s">
        <v>18</v>
      </c>
      <c r="C16" s="8" t="s">
        <v>34</v>
      </c>
    </row>
    <row r="17" spans="2:3" x14ac:dyDescent="0.25">
      <c r="B17" t="s">
        <v>19</v>
      </c>
      <c r="C17" s="8" t="s">
        <v>35</v>
      </c>
    </row>
    <row r="18" spans="2:3" x14ac:dyDescent="0.25">
      <c r="B18" t="s">
        <v>20</v>
      </c>
      <c r="C18" s="8" t="s">
        <v>36</v>
      </c>
    </row>
    <row r="19" spans="2:3" x14ac:dyDescent="0.25">
      <c r="B19" t="s">
        <v>21</v>
      </c>
      <c r="C19" s="8" t="s">
        <v>37</v>
      </c>
    </row>
    <row r="20" spans="2:3" x14ac:dyDescent="0.25">
      <c r="B20" t="s">
        <v>22</v>
      </c>
      <c r="C20" s="8" t="s">
        <v>38</v>
      </c>
    </row>
    <row r="21" spans="2:3" x14ac:dyDescent="0.25">
      <c r="B21" t="s">
        <v>23</v>
      </c>
      <c r="C21" s="8" t="s">
        <v>39</v>
      </c>
    </row>
    <row r="22" spans="2:3" x14ac:dyDescent="0.25">
      <c r="B22" t="s">
        <v>24</v>
      </c>
      <c r="C22" s="8" t="s">
        <v>40</v>
      </c>
    </row>
    <row r="23" spans="2:3" x14ac:dyDescent="0.25">
      <c r="B23" t="s">
        <v>25</v>
      </c>
      <c r="C23" s="8" t="s">
        <v>41</v>
      </c>
    </row>
    <row r="24" spans="2:3" x14ac:dyDescent="0.25">
      <c r="B24" t="s">
        <v>26</v>
      </c>
      <c r="C24" s="8" t="s">
        <v>42</v>
      </c>
    </row>
    <row r="25" spans="2:3" x14ac:dyDescent="0.25">
      <c r="B25" t="s">
        <v>27</v>
      </c>
      <c r="C25" s="8" t="s">
        <v>43</v>
      </c>
    </row>
    <row r="26" spans="2:3" x14ac:dyDescent="0.25">
      <c r="B26" t="s">
        <v>28</v>
      </c>
      <c r="C26" s="8" t="s">
        <v>44</v>
      </c>
    </row>
    <row r="27" spans="2:3" x14ac:dyDescent="0.25">
      <c r="B27" t="s">
        <v>29</v>
      </c>
      <c r="C27" s="8" t="s">
        <v>45</v>
      </c>
    </row>
    <row r="28" spans="2:3" x14ac:dyDescent="0.25">
      <c r="B28" t="s">
        <v>30</v>
      </c>
      <c r="C28" s="8" t="s">
        <v>46</v>
      </c>
    </row>
    <row r="29" spans="2:3" x14ac:dyDescent="0.25">
      <c r="B29" t="s">
        <v>31</v>
      </c>
      <c r="C29" s="8" t="s">
        <v>47</v>
      </c>
    </row>
    <row r="30" spans="2:3" x14ac:dyDescent="0.25">
      <c r="B30" t="s">
        <v>32</v>
      </c>
      <c r="C30" s="8" t="s">
        <v>48</v>
      </c>
    </row>
    <row r="31" spans="2:3" x14ac:dyDescent="0.25">
      <c r="B31" t="s">
        <v>33</v>
      </c>
      <c r="C31" s="8" t="s">
        <v>49</v>
      </c>
    </row>
  </sheetData>
  <hyperlinks>
    <hyperlink ref="C16" location="'QT01'!A1" display="QT01" xr:uid="{E68890AC-EB86-4C0C-9D41-2A24D2D22579}"/>
    <hyperlink ref="C17" location="'QT02'!A1" display="QT02" xr:uid="{963D4269-B470-4D0C-84E7-CBEBFDAD24D5}"/>
    <hyperlink ref="C18" location="'TC01'!A1" display="TC01" xr:uid="{C8160DD2-DC05-4F7A-985B-1B864413EE75}"/>
    <hyperlink ref="C19" location="'CP01'!A1" display="CP01" xr:uid="{3AEF416A-D6BE-44AE-B292-0AC2666A5698}"/>
    <hyperlink ref="C20" location="'BH01'!A1" display="BH01" xr:uid="{D88E8C42-EDD0-49E8-8359-81999A7CD46C}"/>
    <hyperlink ref="C21" location="'BH02'!A1" display="BH02" xr:uid="{8B67161B-201B-4D51-9C35-7F1DED0F6B68}"/>
    <hyperlink ref="C22" location="'LK01'!A1" display="LK01" xr:uid="{4F9BE734-A1A1-4210-8064-6BA3E96B76E2}"/>
    <hyperlink ref="C23" location="'LK02'!A1" display="LK02" xr:uid="{F53A8A41-B100-4D2C-8BB7-549FC4FBDCB8}"/>
    <hyperlink ref="C24" location="'LK03'!A1" display="LK03" xr:uid="{2DB6F302-AD8E-4164-ACD2-385A72B72A3A}"/>
    <hyperlink ref="C25" location="'CP02'!A1" display="CP02" xr:uid="{94DF87EF-49E1-4D96-AAA7-6238C5BBBB9B}"/>
    <hyperlink ref="C26" location="'TC02'!A1" display="TC02" xr:uid="{3E174760-8E69-4009-BE62-452558093271}"/>
    <hyperlink ref="C27" location="'CP03'!A1" display="CP03" xr:uid="{5244F24F-0A21-4B01-9B21-AC2CD3B61F0D}"/>
    <hyperlink ref="C28" location="'GD01'!A1" display="GD01" xr:uid="{889A97BD-7DB7-48EA-851D-DE699E6D7F0A}"/>
    <hyperlink ref="C29" location="'GD02'!A1" display="GD02" xr:uid="{14718802-A995-481F-926A-FD98B66E8916}"/>
    <hyperlink ref="C30" location="'TC03'!A1" display="TC03" xr:uid="{78D267C3-D392-42B8-BAD3-6D3A89EADE8A}"/>
    <hyperlink ref="C31" location="'BH03'!A1" display="BH03" xr:uid="{ADBCE04C-913C-447D-8B4A-D783766772D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99B9A-9BC8-47F0-928F-B722FB50C9EE}">
  <sheetPr codeName="Sheet3"/>
  <dimension ref="A1:O9"/>
  <sheetViews>
    <sheetView workbookViewId="0"/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EASY-58979813532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BA191-6BE1-4F08-AA41-45BFCCAE13DA}">
  <sheetPr codeName="Sheet4"/>
  <dimension ref="A1:O9"/>
  <sheetViews>
    <sheetView workbookViewId="0">
      <selection activeCell="B46" sqref="B46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EASY-71999209764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EASY-78615299468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60F8-F65C-4B5B-90CA-1C75167ED160}">
  <sheetPr codeName="Sheet5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EASY-22225722590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A3726-80C9-43EE-90A1-8F61EFDDE94B}">
  <sheetPr codeName="Sheet6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EASY-68662200887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24779-EA5F-4886-88F8-3522DD516AC4}">
  <sheetPr codeName="Sheet7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EASY-86366006593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24FF-B53D-443A-B0D9-4EE8823CE2BE}">
  <sheetPr codeName="Sheet8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EASY-13463865375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C8CDE-511E-465B-9E20-EE0FAF4E3026}">
  <sheetPr codeName="Sheet9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EASY-8826164594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F8F2-CC8A-4524-8261-81DCDDD13C91}">
  <sheetPr codeName="Sheet10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EASY-9958281450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5A5C4-51DC-497A-A19E-7A81FC7D6344}">
  <sheetPr codeName="Sheet11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EASY-66820942163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C8AE2-4D80-48B3-B27C-278BD9DF6326}">
  <sheetPr codeName="Sheet12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EASY-82692840080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3EEC-53F1-40A6-9AB4-832CAF7C5015}">
  <sheetPr codeName="Sheet13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EASY-12469623555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9631-0036-47CA-BC94-BB8196A3F4AF}">
  <sheetPr codeName="Sheet14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EASY-85118551025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F9D7-FC96-41D0-B876-2681B9D858C3}">
  <sheetPr codeName="Sheet15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EASY-52000763047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FAB0D-F53C-4229-A4AF-C02A592BE1FC}">
  <sheetPr codeName="Sheet16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EASY-69447172454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E1A2F-A8CD-4BF2-9BC8-529223C74CD9}">
  <sheetPr codeName="Sheet17"/>
  <dimension ref="A1:O9"/>
  <sheetViews>
    <sheetView workbookViewId="0">
      <selection activeCell="B3" sqref="B3:C9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45813.68230763889</v>
      </c>
      <c r="C1" s="2" t="str">
        <f ca="1">CONCATENATE("EASY-",ROUND(RAND()*100000000000,0))</f>
        <v>EASY-73433598974</v>
      </c>
      <c r="N1" s="6" t="s">
        <v>5</v>
      </c>
    </row>
    <row r="2" spans="1:14" x14ac:dyDescent="0.25">
      <c r="A2" s="1">
        <v>45804.330042939815</v>
      </c>
      <c r="B2" s="3" t="s">
        <v>0</v>
      </c>
      <c r="C2" s="4" t="s">
        <v>1</v>
      </c>
      <c r="N2" s="7" t="s">
        <v>6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7</v>
      </c>
      <c r="C4" s="4" t="s">
        <v>8</v>
      </c>
    </row>
    <row r="5" spans="1:14" x14ac:dyDescent="0.25">
      <c r="B5" s="3" t="s">
        <v>9</v>
      </c>
      <c r="C5" s="4" t="s">
        <v>10</v>
      </c>
    </row>
    <row r="6" spans="1:14" x14ac:dyDescent="0.25">
      <c r="B6" s="3" t="s">
        <v>11</v>
      </c>
      <c r="C6" s="4" t="s">
        <v>12</v>
      </c>
    </row>
    <row r="7" spans="1:14" x14ac:dyDescent="0.25">
      <c r="B7" s="3" t="s">
        <v>4</v>
      </c>
      <c r="C7" s="4" t="s">
        <v>13</v>
      </c>
    </row>
    <row r="8" spans="1:14" x14ac:dyDescent="0.25">
      <c r="B8" s="3" t="s">
        <v>14</v>
      </c>
      <c r="C8" s="4" t="s">
        <v>15</v>
      </c>
    </row>
    <row r="9" spans="1:14" x14ac:dyDescent="0.25">
      <c r="B9" s="3" t="s">
        <v>16</v>
      </c>
      <c r="C9" s="4" t="s">
        <v>17</v>
      </c>
    </row>
  </sheetData>
  <sheetProtection algorithmName="SHA-512" hashValue="5cW5NmLfxOwAufsrsGDr9pRyxaxtVXkMhXG1jBHdhDvXVbTFPQVcMck6v2Jutpn0CH1wLOFF2XULOWW7r5m9Rg==" saltValue="iSGKe7tVrBx3zJOxH8I5+A==" spinCount="100000" sheet="1" objects="1" scenarios="1" formatRows="0" insertRows="0" insertHyperlinks="0" deleteRows="0" selectLockedCells="1" sort="0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Content</vt:lpstr>
      <vt:lpstr>QT01</vt:lpstr>
      <vt:lpstr>QT02</vt:lpstr>
      <vt:lpstr>TC01</vt:lpstr>
      <vt:lpstr>CP01</vt:lpstr>
      <vt:lpstr>BH01</vt:lpstr>
      <vt:lpstr>BH02</vt:lpstr>
      <vt:lpstr>LK01</vt:lpstr>
      <vt:lpstr>LK02</vt:lpstr>
      <vt:lpstr>LK03</vt:lpstr>
      <vt:lpstr>CP02</vt:lpstr>
      <vt:lpstr>TC02</vt:lpstr>
      <vt:lpstr>CP03</vt:lpstr>
      <vt:lpstr>GD01</vt:lpstr>
      <vt:lpstr>GD02</vt:lpstr>
      <vt:lpstr>TC03</vt:lpstr>
      <vt:lpstr>BH03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LeAnh</dc:creator>
  <cp:keywords/>
  <dc:description/>
  <cp:lastModifiedBy>Anh Le</cp:lastModifiedBy>
  <cp:revision/>
  <dcterms:created xsi:type="dcterms:W3CDTF">2025-04-01T07:13:27Z</dcterms:created>
  <dcterms:modified xsi:type="dcterms:W3CDTF">2025-06-05T09:24:38Z</dcterms:modified>
  <cp:category/>
  <cp:contentStatus/>
</cp:coreProperties>
</file>